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"/>
    </mc:Choice>
  </mc:AlternateContent>
  <xr:revisionPtr revIDLastSave="0" documentId="8_{25FD7477-92C1-4575-B867-5877EE14115D}" xr6:coauthVersionLast="36" xr6:coauthVersionMax="36" xr10:uidLastSave="{00000000-0000-0000-0000-000000000000}"/>
  <bookViews>
    <workbookView xWindow="0" yWindow="0" windowWidth="28800" windowHeight="12105" xr2:uid="{CECB6569-648A-4993-9995-A8C612A31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H4" i="1"/>
  <c r="H3" i="1"/>
  <c r="H2" i="1"/>
  <c r="G9" i="1"/>
  <c r="G8" i="1"/>
  <c r="G7" i="1"/>
  <c r="G6" i="1"/>
  <c r="G5" i="1"/>
  <c r="G4" i="1"/>
  <c r="G3" i="1"/>
  <c r="G2" i="1"/>
  <c r="F9" i="1"/>
  <c r="F8" i="1"/>
  <c r="F7" i="1"/>
  <c r="F6" i="1"/>
  <c r="F5" i="1"/>
  <c r="F4" i="1"/>
  <c r="F3" i="1"/>
  <c r="F2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<sst xmlns="http://schemas.openxmlformats.org/spreadsheetml/2006/main" count="24" uniqueCount="24">
  <si>
    <t>NOME</t>
  </si>
  <si>
    <t>CARGO</t>
  </si>
  <si>
    <t>VALOR HORA TRABALHADA</t>
  </si>
  <si>
    <t>HORAS TRABALHADAS</t>
  </si>
  <si>
    <t>SALÁRIO BRUTO</t>
  </si>
  <si>
    <t>SALÁRIO LÍQUIDO</t>
  </si>
  <si>
    <t>Lucas Oliveira</t>
  </si>
  <si>
    <t>Ana Santos</t>
  </si>
  <si>
    <t xml:space="preserve">Renan Silva </t>
  </si>
  <si>
    <t>Roberta Justus</t>
  </si>
  <si>
    <t>Daniel Souza</t>
  </si>
  <si>
    <t>Juliana Alves</t>
  </si>
  <si>
    <t>Carla Perez</t>
  </si>
  <si>
    <t>ASSISTENTE ADMINISTRATIVO</t>
  </si>
  <si>
    <t>ANALISTA</t>
  </si>
  <si>
    <t>RECEPCIONISTA</t>
  </si>
  <si>
    <t>TÉCNICA</t>
  </si>
  <si>
    <t>GERENTE</t>
  </si>
  <si>
    <t>AUXILIAR</t>
  </si>
  <si>
    <t>VENDEDOR</t>
  </si>
  <si>
    <t>INSS(9%)</t>
  </si>
  <si>
    <t>FGTS(8%)</t>
  </si>
  <si>
    <t>VinIcius Pereira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</si>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</sst>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Bahnschrift Light Condensed"/>
      <family val="2"/>
    </font>
    <font>
      <sz val="11"/>
      <color theme="1"/>
      <name val="Arial Narrow"/>
      <family val="2"/>
    </font>
    <font>
      <b/>
      <sz val="12"/>
      <color theme="2" tint="-0.749992370372631"/>
      <name val="Bahnschrift Light 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FCE0E9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8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  <color rgb="FFFCE0E9"/>
      <color rgb="FFECECEC"/>
      <color rgb="FFFBE0FC"/>
      <color rgb="FFF8E8FC"/>
      <color rgb="FFEB95C8"/>
      <color rgb="FFE5BDD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E612-6626-46AE-A81F-B92323F0B704}">
  <dimension ref="A1:H9"/>
  <sheetViews>
    <sheetView tabSelected="1" zoomScale="124" zoomScaleNormal="124" workbookViewId="0">
      <selection activeCell="K3" sqref="K3"/>
    </sheetView>
  </sheetViews>
  <sheetFormatPr defaultRowHeight="15" x14ac:dyDescent="0.25"/>
  <cols>
    <col min="1" max="1" width="15.5703125" customWidth="1"/>
    <col min="2" max="2" width="32.85546875" customWidth="1"/>
    <col min="3" max="3" width="24.85546875" customWidth="1"/>
    <col min="4" max="4" width="20.5703125" customWidth="1"/>
    <col min="5" max="5" width="15.7109375" customWidth="1"/>
    <col min="6" max="6" width="13.7109375" customWidth="1"/>
    <col min="7" max="7" width="12.5703125" customWidth="1"/>
    <col min="8" max="8" width="16.7109375" customWidth="1"/>
  </cols>
  <sheetData>
    <row r="1" spans="1:8" s="1" customFormat="1" ht="40.5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20</v>
      </c>
      <c r="G1" s="9" t="s">
        <v>21</v>
      </c>
      <c r="H1" s="10" t="s">
        <v>5</v>
      </c>
    </row>
    <row r="2" spans="1:8" ht="30.75" customHeight="1" x14ac:dyDescent="0.25">
      <c r="A2" s="7" t="s">
        <v>6</v>
      </c>
      <c r="B2" s="5" t="s">
        <v>13</v>
      </c>
      <c r="C2" s="6">
        <v>20</v>
      </c>
      <c r="D2" s="7">
        <v>190</v>
      </c>
      <c r="E2" s="6">
        <f>C2*D2</f>
        <v>3800</v>
      </c>
      <c r="F2" s="6">
        <f>E2*9/100</f>
        <v>342</v>
      </c>
      <c r="G2" s="6">
        <f>E2*8/100</f>
        <v>304</v>
      </c>
      <c r="H2" s="6">
        <f>E2-F2</f>
        <v>3458</v>
      </c>
    </row>
    <row r="3" spans="1:8" ht="30.75" customHeight="1" x14ac:dyDescent="0.25">
      <c r="A3" s="2" t="s">
        <v>7</v>
      </c>
      <c r="B3" s="3" t="s">
        <v>14</v>
      </c>
      <c r="C3" s="4">
        <v>18</v>
      </c>
      <c r="D3" s="2">
        <v>195</v>
      </c>
      <c r="E3" s="4">
        <f>C3*D3</f>
        <v>3510</v>
      </c>
      <c r="F3" s="4">
        <f>E3*9/100</f>
        <v>315.89999999999998</v>
      </c>
      <c r="G3" s="4">
        <f>E3*8/100</f>
        <v>280.8</v>
      </c>
      <c r="H3" s="4">
        <f>E3-F3</f>
        <v>3194.1</v>
      </c>
    </row>
    <row r="4" spans="1:8" ht="30.75" customHeight="1" x14ac:dyDescent="0.25">
      <c r="A4" s="2" t="s">
        <v>8</v>
      </c>
      <c r="B4" s="3" t="s">
        <v>15</v>
      </c>
      <c r="C4" s="4">
        <v>12</v>
      </c>
      <c r="D4" s="2">
        <v>200</v>
      </c>
      <c r="E4" s="4">
        <f>C4*D4</f>
        <v>2400</v>
      </c>
      <c r="F4" s="4">
        <f>E4*9/100</f>
        <v>216</v>
      </c>
      <c r="G4" s="4">
        <f>E4*8/100</f>
        <v>192</v>
      </c>
      <c r="H4" s="4">
        <f>E4-F4</f>
        <v>2184</v>
      </c>
    </row>
    <row r="5" spans="1:8" ht="30.75" customHeight="1" x14ac:dyDescent="0.25">
      <c r="A5" s="2" t="s">
        <v>9</v>
      </c>
      <c r="B5" s="3" t="s">
        <v>16</v>
      </c>
      <c r="C5" s="4">
        <v>10</v>
      </c>
      <c r="D5" s="2">
        <v>220</v>
      </c>
      <c r="E5" s="4">
        <f>C5*D5</f>
        <v>2200</v>
      </c>
      <c r="F5" s="4">
        <f>E5*9/100</f>
        <v>198</v>
      </c>
      <c r="G5" s="4">
        <f>E5*8/100</f>
        <v>176</v>
      </c>
      <c r="H5" s="4">
        <f>E5-F5</f>
        <v>2002</v>
      </c>
    </row>
    <row r="6" spans="1:8" ht="30.75" customHeight="1" x14ac:dyDescent="0.25">
      <c r="A6" s="2" t="s">
        <v>10</v>
      </c>
      <c r="B6" s="3" t="s">
        <v>17</v>
      </c>
      <c r="C6" s="4">
        <v>25</v>
      </c>
      <c r="D6" s="2">
        <v>200</v>
      </c>
      <c r="E6" s="4">
        <f>C6*D6</f>
        <v>5000</v>
      </c>
      <c r="F6" s="4">
        <f>E6*9/100</f>
        <v>450</v>
      </c>
      <c r="G6" s="4">
        <f>E6*8/100</f>
        <v>400</v>
      </c>
      <c r="H6" s="4">
        <f>E6-F6</f>
        <v>4550</v>
      </c>
    </row>
    <row r="7" spans="1:8" ht="30.75" customHeight="1" x14ac:dyDescent="0.25">
      <c r="A7" s="2" t="s">
        <v>11</v>
      </c>
      <c r="B7" s="3" t="s">
        <v>18</v>
      </c>
      <c r="C7" s="4">
        <v>15</v>
      </c>
      <c r="D7" s="2">
        <v>220</v>
      </c>
      <c r="E7" s="4">
        <f>C7*D7</f>
        <v>3300</v>
      </c>
      <c r="F7" s="4">
        <f>E7*9/100</f>
        <v>297</v>
      </c>
      <c r="G7" s="4">
        <f>E7*8/100</f>
        <v>264</v>
      </c>
      <c r="H7" s="4">
        <f>E7-F7</f>
        <v>3003</v>
      </c>
    </row>
    <row r="8" spans="1:8" ht="30.75" customHeight="1" x14ac:dyDescent="0.25">
      <c r="A8" s="2" t="s">
        <v>22</v>
      </c>
      <c r="B8" s="3" t="s">
        <v>19</v>
      </c>
      <c r="C8" s="4">
        <v>17</v>
      </c>
      <c r="D8" s="2">
        <v>195</v>
      </c>
      <c r="E8" s="4">
        <f>C8*D8</f>
        <v>3315</v>
      </c>
      <c r="F8" s="4">
        <f>E8*9/100</f>
        <v>298.35000000000002</v>
      </c>
      <c r="G8" s="4">
        <f>E8*8/100</f>
        <v>265.2</v>
      </c>
      <c r="H8" s="4">
        <f>E8-F8</f>
        <v>3016.65</v>
      </c>
    </row>
    <row r="9" spans="1:8" ht="30.75" customHeight="1" x14ac:dyDescent="0.25">
      <c r="A9" s="2" t="s">
        <v>12</v>
      </c>
      <c r="B9" s="3" t="s">
        <v>23</v>
      </c>
      <c r="C9" s="4">
        <v>20</v>
      </c>
      <c r="D9" s="2">
        <v>220</v>
      </c>
      <c r="E9" s="4">
        <f>C9*D9</f>
        <v>4400</v>
      </c>
      <c r="F9" s="4">
        <f>E9*9/100</f>
        <v>396</v>
      </c>
      <c r="G9" s="4">
        <f>E9*8/100</f>
        <v>352</v>
      </c>
      <c r="H9" s="4">
        <f>E9-F9</f>
        <v>4004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2026-10-05T22:13:20Z</dcterms:created>
  <dcterms:modified xsi:type="dcterms:W3CDTF">2026-10-05T22:54:59Z</dcterms:modified>
</cp:coreProperties>
</file>